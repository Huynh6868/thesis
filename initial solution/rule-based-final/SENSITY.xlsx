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rule-based-final/"/>
    </mc:Choice>
  </mc:AlternateContent>
  <xr:revisionPtr revIDLastSave="0" documentId="8_{1B51F063-E28A-4FBE-A323-5A1E69D50700}" xr6:coauthVersionLast="47" xr6:coauthVersionMax="47" xr10:uidLastSave="{00000000-0000-0000-0000-000000000000}"/>
  <bookViews>
    <workbookView xWindow="-110" yWindow="-110" windowWidth="19420" windowHeight="10300" activeTab="2" xr2:uid="{4C7F97BC-29AB-445A-BD2F-0ADAD2C6676B}"/>
  </bookViews>
  <sheets>
    <sheet name="small " sheetId="1" r:id="rId1"/>
    <sheet name="medium" sheetId="2" r:id="rId2"/>
    <sheet name="lar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23" i="3"/>
  <c r="D17" i="3"/>
  <c r="D11" i="3"/>
  <c r="D5" i="3"/>
  <c r="D35" i="1"/>
  <c r="D26" i="1"/>
  <c r="D17" i="1"/>
  <c r="D8" i="1"/>
  <c r="D30" i="2"/>
  <c r="D24" i="2"/>
  <c r="D17" i="2"/>
  <c r="E23" i="3"/>
  <c r="C23" i="3"/>
  <c r="B23" i="3"/>
  <c r="E17" i="3"/>
  <c r="C17" i="3"/>
  <c r="B17" i="3"/>
  <c r="E11" i="3"/>
  <c r="C11" i="3"/>
  <c r="B11" i="3"/>
  <c r="E5" i="3"/>
  <c r="C5" i="3"/>
  <c r="B5" i="3"/>
  <c r="E30" i="2"/>
  <c r="C30" i="2"/>
  <c r="B30" i="2"/>
  <c r="E24" i="2"/>
  <c r="C24" i="2"/>
  <c r="B24" i="2"/>
  <c r="E17" i="2"/>
  <c r="C17" i="2"/>
  <c r="B17" i="2"/>
  <c r="E8" i="2"/>
  <c r="C8" i="2"/>
  <c r="B8" i="2"/>
  <c r="E35" i="1"/>
  <c r="C35" i="1"/>
  <c r="B35" i="1"/>
  <c r="E26" i="1"/>
  <c r="C26" i="1"/>
  <c r="B26" i="1"/>
  <c r="E17" i="1"/>
  <c r="C17" i="1"/>
  <c r="B17" i="1"/>
  <c r="C8" i="1"/>
  <c r="E8" i="1"/>
  <c r="B8" i="1"/>
</calcChain>
</file>

<file path=xl/sharedStrings.xml><?xml version="1.0" encoding="utf-8"?>
<sst xmlns="http://schemas.openxmlformats.org/spreadsheetml/2006/main" count="94" uniqueCount="14">
  <si>
    <t>10 gen 30 pop</t>
  </si>
  <si>
    <t>rep</t>
  </si>
  <si>
    <t>base value</t>
  </si>
  <si>
    <t>improve value</t>
  </si>
  <si>
    <t>%</t>
  </si>
  <si>
    <t>run time</t>
  </si>
  <si>
    <t> 52.58</t>
  </si>
  <si>
    <t>10 gen 50 pop</t>
  </si>
  <si>
    <t>avg</t>
  </si>
  <si>
    <t>10 gen 80 pop</t>
  </si>
  <si>
    <t>10 gen 100 pop</t>
  </si>
  <si>
    <t>population</t>
  </si>
  <si>
    <t>% improvement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</si>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</sst>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0" fontId="0" fillId="0" borderId="0" xfId="0" applyNumberFormat="1"/>
    <xf numFmtId="10" fontId="2" fillId="0" borderId="0" xfId="0" applyNumberFormat="1" applyFont="1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10" fontId="2" fillId="0" borderId="1" xfId="0" applyNumberFormat="1" applyFont="1" applyBorder="1"/>
    <xf numFmtId="10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Small dataset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'small '!$H$2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'small '!$H$3:$H$6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'small '!$H$3:$H$6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6-4D15-995F-5338C9B870D0}"/>
            </c:ext>
          </c:extLst>
        </c:ser>
        <c:ser>
          <c:idx val="1"/>
          <c:order val="1"/>
          <c:tx>
            <c:strRef>
              <c:f>'small '!$I$2</c:f>
              <c:strCache>
                <c:ptCount val="1"/>
                <c:pt idx="0">
                  <c:v>% improvement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'small '!$H$3:$H$6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'small '!$I$3:$I$6</c:f>
              <c:numCache>
                <c:formatCode>General</c:formatCode>
                <c:ptCount val="4"/>
                <c:pt idx="0">
                  <c:v>-5.2399999999999999E-3</c:v>
                </c:pt>
                <c:pt idx="1">
                  <c:v>-1.9599999999999999E-3</c:v>
                </c:pt>
                <c:pt idx="2">
                  <c:v>-4.1999999999999997E-3</c:v>
                </c:pt>
                <c:pt idx="3">
                  <c:v>-1.3819999999999999E-2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6-4D15-995F-5338C9B87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385503"/>
        <c:axId val="1561385983"/>
      </c:lineChart>
      <c:lineChart>
        <c:grouping val="stacked"/>
        <c:varyColors val="0"/>
        <c:ser>
          <c:idx val="2"/>
          <c:order val="2"/>
          <c:tx>
            <c:strRef>
              <c:f>'small '!$J$2</c:f>
              <c:strCache>
                <c:ptCount val="1"/>
                <c:pt idx="0">
                  <c:v>runtime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'small '!$J$3:$J$6</c:f>
              <c:numCache>
                <c:formatCode>General</c:formatCode>
                <c:ptCount val="4"/>
                <c:pt idx="0">
                  <c:v>44.657499999999999</c:v>
                </c:pt>
                <c:pt idx="1">
                  <c:v>31.548000000000002</c:v>
                </c:pt>
                <c:pt idx="2">
                  <c:v>84.198000000000008</c:v>
                </c:pt>
                <c:pt idx="3">
                  <c:v>113.90599999999999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6-4D15-995F-5338C9B87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236495"/>
        <c:axId val="1565889903"/>
      </c:lineChart>
      <c:catAx>
        <c:axId val="156138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85983"/>
        <c:crosses val="autoZero"/>
        <c:auto val="1"/>
        <c:lblAlgn val="ctr"/>
        <c:lblOffset val="100"/>
        <c:noMultiLvlLbl val="0"/>
      </c:catAx>
      <c:valAx>
        <c:axId val="156138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85503"/>
        <c:crosses val="autoZero"/>
        <c:crossBetween val="between"/>
      </c:valAx>
      <c:valAx>
        <c:axId val="1565889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36495"/>
        <c:crosses val="max"/>
        <c:crossBetween val="between"/>
      </c:valAx>
      <c:catAx>
        <c:axId val="1660236495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8899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Medium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medium!$I$6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medium!$I$7:$I$10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medium!$I$7:$I$10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5-41D1-B656-F2FFB5391090}"/>
            </c:ext>
          </c:extLst>
        </c:ser>
        <c:ser>
          <c:idx val="1"/>
          <c:order val="1"/>
          <c:tx>
            <c:strRef>
              <c:f>medium!$J$6</c:f>
              <c:strCache>
                <c:ptCount val="1"/>
                <c:pt idx="0">
                  <c:v>% improvement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medium!$I$7:$I$10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medium!$J$7:$J$10</c:f>
              <c:numCache>
                <c:formatCode>0.00%</c:formatCode>
                <c:ptCount val="4"/>
                <c:pt idx="0">
                  <c:v>8.7340000000000001E-2</c:v>
                </c:pt>
                <c:pt idx="1">
                  <c:v>6.9019999999999998E-2</c:v>
                </c:pt>
                <c:pt idx="2">
                  <c:v>0.12476666666666665</c:v>
                </c:pt>
                <c:pt idx="3">
                  <c:v>6.8400000000000002E-2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5-41D1-B656-F2FFB5391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577455"/>
        <c:axId val="1367592335"/>
      </c:lineChart>
      <c:lineChart>
        <c:grouping val="stacked"/>
        <c:varyColors val="0"/>
        <c:ser>
          <c:idx val="2"/>
          <c:order val="2"/>
          <c:tx>
            <c:strRef>
              <c:f>medium!$K$6</c:f>
              <c:strCache>
                <c:ptCount val="1"/>
                <c:pt idx="0">
                  <c:v>runtime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medium!$K$7:$K$10</c:f>
              <c:numCache>
                <c:formatCode>General</c:formatCode>
                <c:ptCount val="4"/>
                <c:pt idx="0">
                  <c:v>28.326000000000001</c:v>
                </c:pt>
                <c:pt idx="1">
                  <c:v>84.231999999999999</c:v>
                </c:pt>
                <c:pt idx="2">
                  <c:v>142.66999999999999</c:v>
                </c:pt>
                <c:pt idx="3">
                  <c:v>130.24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5-41D1-B656-F2FFB5391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579855"/>
        <c:axId val="1367596175"/>
      </c:lineChart>
      <c:catAx>
        <c:axId val="136757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92335"/>
        <c:crosses val="autoZero"/>
        <c:auto val="1"/>
        <c:lblAlgn val="ctr"/>
        <c:lblOffset val="100"/>
        <c:noMultiLvlLbl val="0"/>
      </c:catAx>
      <c:valAx>
        <c:axId val="13675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77455"/>
        <c:crosses val="autoZero"/>
        <c:crossBetween val="between"/>
      </c:valAx>
      <c:valAx>
        <c:axId val="13675961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79855"/>
        <c:crosses val="max"/>
        <c:crossBetween val="between"/>
      </c:valAx>
      <c:catAx>
        <c:axId val="1367579855"/>
        <c:scaling>
          <c:orientation val="minMax"/>
        </c:scaling>
        <c:delete val="1"/>
        <c:axPos val="b"/>
        <c:majorTickMark val="out"/>
        <c:minorTickMark val="none"/>
        <c:tickLblPos val="nextTo"/>
        <c:crossAx val="13675961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Large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large!$H$3</c:f>
              <c:strCache>
                <c:ptCount val="1"/>
                <c:pt idx="0">
                  <c:v>population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large!$H$4:$H$7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large!$H$4:$H$7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07-4307-92D6-843BEE1201F7}"/>
            </c:ext>
          </c:extLst>
        </c:ser>
        <c:ser>
          <c:idx val="1"/>
          <c:order val="1"/>
          <c:tx>
            <c:strRef>
              <c:f>large!$I$3</c:f>
              <c:strCache>
                <c:ptCount val="1"/>
                <c:pt idx="0">
                  <c:v>% improvement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large!$H$4:$H$7</c:f>
              <c:numCache>
                <c:formatCode>General</c:formatCode>
                <c:ptCount val="4"/>
                <c:pt idx="0">
                  <c:v>30</c:v>
                </c:pt>
                <c:pt idx="1">
                  <c:v>50</c:v>
                </c:pt>
                <c:pt idx="2">
                  <c:v>80</c:v>
                </c:pt>
                <c:pt idx="3">
                  <c:v>100</c:v>
                </c:pt>
              </c:numCache>
            </c:numRef>
          </c:cat>
          <c:val>
            <c:numRef>
              <c:f>large!$I$4:$I$7</c:f>
              <c:numCache>
                <c:formatCode>0.00%</c:formatCode>
                <c:ptCount val="4"/>
                <c:pt idx="0">
                  <c:v>0.35314999999999996</c:v>
                </c:pt>
                <c:pt idx="1">
                  <c:v>0.3594</c:v>
                </c:pt>
                <c:pt idx="2">
                  <c:v>0.35644999999999999</c:v>
                </c:pt>
                <c:pt idx="3">
                  <c:v>0.29359999999999997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7-4307-92D6-843BEE120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434047"/>
        <c:axId val="1660433567"/>
      </c:lineChart>
      <c:lineChart>
        <c:grouping val="stacked"/>
        <c:varyColors val="0"/>
        <c:ser>
          <c:idx val="2"/>
          <c:order val="2"/>
          <c:tx>
            <c:strRef>
              <c:f>large!$J$3</c:f>
              <c:strCache>
                <c:ptCount val="1"/>
                <c:pt idx="0">
                  <c:v>runtime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large!$J$4:$J$7</c:f>
              <c:numCache>
                <c:formatCode>General</c:formatCode>
                <c:ptCount val="4"/>
                <c:pt idx="0">
                  <c:v>83.655000000000001</c:v>
                </c:pt>
                <c:pt idx="1">
                  <c:v>106.685</c:v>
                </c:pt>
                <c:pt idx="2">
                  <c:v>201.655</c:v>
                </c:pt>
                <c:pt idx="3">
                  <c:v>346.745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07-4307-92D6-843BEE120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600575"/>
        <c:axId val="1665598655"/>
      </c:lineChart>
      <c:catAx>
        <c:axId val="166043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33567"/>
        <c:crosses val="autoZero"/>
        <c:auto val="1"/>
        <c:lblAlgn val="ctr"/>
        <c:lblOffset val="100"/>
        <c:noMultiLvlLbl val="0"/>
      </c:catAx>
      <c:valAx>
        <c:axId val="16604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34047"/>
        <c:crosses val="autoZero"/>
        <c:crossBetween val="between"/>
      </c:valAx>
      <c:valAx>
        <c:axId val="16655986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600575"/>
        <c:crosses val="max"/>
        <c:crossBetween val="between"/>
      </c:valAx>
      <c:catAx>
        <c:axId val="1665600575"/>
        <c:scaling>
          <c:orientation val="minMax"/>
        </c:scaling>
        <c:delete val="1"/>
        <c:axPos val="b"/>
        <c:majorTickMark val="out"/>
        <c:minorTickMark val="none"/>
        <c:tickLblPos val="nextTo"/>
        <c:crossAx val="16655986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288925</xdr:colOff>
      <xdr:row>6</xdr:row>
      <xdr:rowOff>9525</xdr:rowOff>
    </xdr:from>
    <xdr:to>
      <xdr:col>18</xdr:col>
      <xdr:colOff>593725</xdr:colOff>
      <xdr:row>20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10B494-55BB-2A16-8C23-F077ABBE8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555625</xdr:colOff>
      <xdr:row>7</xdr:row>
      <xdr:rowOff>22225</xdr:rowOff>
    </xdr:from>
    <xdr:to>
      <xdr:col>20</xdr:col>
      <xdr:colOff>250825</xdr:colOff>
      <xdr:row>22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F2181-9363-C748-BD76-4B8A03770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307975</xdr:colOff>
      <xdr:row>1</xdr:row>
      <xdr:rowOff>66675</xdr:rowOff>
    </xdr:from>
    <xdr:to>
      <xdr:col>18</xdr:col>
      <xdr:colOff>3175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93A5B-3704-64D2-7701-93F2E38B1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7B39-C281-4893-B164-9091CBE8E063}">
  <dimension ref="A1:J35"/>
  <sheetViews>
    <sheetView workbookViewId="0">
      <selection activeCell="H2" sqref="H2:J6"/>
    </sheetView>
  </sheetViews>
  <sheetFormatPr defaultRowHeight="14.5" x14ac:dyDescent="0.35"/>
  <cols>
    <col min="2" max="2" width="9.6328125" bestFit="1" customWidth="1"/>
    <col min="3" max="3" width="12.6328125" bestFit="1" customWidth="1"/>
    <col min="9" max="9" width="14.08984375" bestFit="1" customWidth="1"/>
  </cols>
  <sheetData>
    <row r="1" spans="1:10" x14ac:dyDescent="0.35">
      <c r="A1" s="9" t="s">
        <v>0</v>
      </c>
      <c r="B1" s="9"/>
    </row>
    <row r="2" spans="1:10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H2" t="s">
        <v>11</v>
      </c>
      <c r="I2" t="s">
        <v>12</v>
      </c>
      <c r="J2" t="s">
        <v>13</v>
      </c>
    </row>
    <row r="3" spans="1:10" x14ac:dyDescent="0.35">
      <c r="A3" s="5">
        <v>1</v>
      </c>
      <c r="B3" s="6">
        <v>90073.9</v>
      </c>
      <c r="C3" s="6">
        <v>89692.9</v>
      </c>
      <c r="D3" s="7">
        <v>4.1999999999999997E-3</v>
      </c>
      <c r="E3" s="6" t="s">
        <v>6</v>
      </c>
      <c r="H3">
        <v>30</v>
      </c>
      <c r="I3">
        <v>-5.2399999999999999E-3</v>
      </c>
      <c r="J3">
        <v>44.657499999999999</v>
      </c>
    </row>
    <row r="4" spans="1:10" x14ac:dyDescent="0.35">
      <c r="A4" s="5">
        <v>2</v>
      </c>
      <c r="B4" s="5">
        <v>90073.9</v>
      </c>
      <c r="C4" s="5">
        <v>90606.9</v>
      </c>
      <c r="D4" s="8">
        <v>-5.8999999999999999E-3</v>
      </c>
      <c r="E4" s="5">
        <v>14.92</v>
      </c>
      <c r="H4">
        <v>50</v>
      </c>
      <c r="I4">
        <v>-1.9599999999999999E-3</v>
      </c>
      <c r="J4">
        <v>31.548000000000002</v>
      </c>
    </row>
    <row r="5" spans="1:10" x14ac:dyDescent="0.35">
      <c r="A5" s="5">
        <v>3</v>
      </c>
      <c r="B5" s="5">
        <v>90073.9</v>
      </c>
      <c r="C5" s="5">
        <v>90837.9</v>
      </c>
      <c r="D5" s="8">
        <v>-8.5000000000000006E-3</v>
      </c>
      <c r="E5" s="5">
        <v>9.42</v>
      </c>
      <c r="H5">
        <v>80</v>
      </c>
      <c r="I5">
        <v>-4.1999999999999997E-3</v>
      </c>
      <c r="J5">
        <v>84.198000000000008</v>
      </c>
    </row>
    <row r="6" spans="1:10" x14ac:dyDescent="0.35">
      <c r="A6" s="5">
        <v>4</v>
      </c>
      <c r="B6" s="5">
        <v>90073.9</v>
      </c>
      <c r="C6" s="5">
        <v>91018.9</v>
      </c>
      <c r="D6" s="8">
        <v>-1.0500000000000001E-2</v>
      </c>
      <c r="E6" s="5">
        <v>75.62</v>
      </c>
      <c r="H6">
        <v>100</v>
      </c>
      <c r="I6">
        <v>-1.3819999999999999E-2</v>
      </c>
      <c r="J6">
        <v>113.90599999999999</v>
      </c>
    </row>
    <row r="7" spans="1:10" x14ac:dyDescent="0.35">
      <c r="A7" s="5">
        <v>5</v>
      </c>
      <c r="B7" s="5">
        <v>90073.9</v>
      </c>
      <c r="C7" s="5">
        <v>90568.9</v>
      </c>
      <c r="D7" s="8">
        <v>-5.4999999999999997E-3</v>
      </c>
      <c r="E7" s="5">
        <v>78.67</v>
      </c>
    </row>
    <row r="8" spans="1:10" x14ac:dyDescent="0.35">
      <c r="A8" s="5" t="s">
        <v>8</v>
      </c>
      <c r="B8" s="5">
        <f>AVERAGE(B3:B7)</f>
        <v>90073.9</v>
      </c>
      <c r="C8" s="5">
        <f t="shared" ref="C8:E8" si="0">AVERAGE(C3:C7)</f>
        <v>90545.1</v>
      </c>
      <c r="D8" s="8">
        <f>AVERAGE(D3:D7)</f>
        <v>-5.2399999999999999E-3</v>
      </c>
      <c r="E8" s="5">
        <f t="shared" si="0"/>
        <v>44.657499999999999</v>
      </c>
    </row>
    <row r="10" spans="1:10" x14ac:dyDescent="0.35">
      <c r="A10" s="10" t="s">
        <v>7</v>
      </c>
      <c r="B10" s="10"/>
    </row>
    <row r="11" spans="1:10" x14ac:dyDescent="0.35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</row>
    <row r="12" spans="1:10" x14ac:dyDescent="0.35">
      <c r="A12" s="5">
        <v>1</v>
      </c>
      <c r="B12" s="6">
        <v>90073.9</v>
      </c>
      <c r="C12" s="6">
        <v>89864.9</v>
      </c>
      <c r="D12" s="7">
        <v>2.3E-3</v>
      </c>
      <c r="E12" s="6">
        <v>62.89</v>
      </c>
    </row>
    <row r="13" spans="1:10" x14ac:dyDescent="0.35">
      <c r="A13" s="5">
        <v>2</v>
      </c>
      <c r="B13" s="5">
        <v>90073.9</v>
      </c>
      <c r="C13" s="5">
        <v>90606.9</v>
      </c>
      <c r="D13" s="8">
        <v>-5.8999999999999999E-3</v>
      </c>
      <c r="E13" s="5">
        <v>14.92</v>
      </c>
    </row>
    <row r="14" spans="1:10" x14ac:dyDescent="0.35">
      <c r="A14" s="5">
        <v>3</v>
      </c>
      <c r="B14" s="5">
        <v>90073.9</v>
      </c>
      <c r="C14" s="5">
        <v>90837.9</v>
      </c>
      <c r="D14" s="8">
        <v>-8.5000000000000006E-3</v>
      </c>
      <c r="E14" s="5">
        <v>9.42</v>
      </c>
    </row>
    <row r="15" spans="1:10" x14ac:dyDescent="0.35">
      <c r="A15" s="5">
        <v>4</v>
      </c>
      <c r="B15" s="5">
        <v>90073.9</v>
      </c>
      <c r="C15" s="5">
        <v>89968.9</v>
      </c>
      <c r="D15" s="8">
        <v>1.1999999999999999E-3</v>
      </c>
      <c r="E15" s="5">
        <v>34.369999999999997</v>
      </c>
    </row>
    <row r="16" spans="1:10" x14ac:dyDescent="0.35">
      <c r="A16" s="5">
        <v>5</v>
      </c>
      <c r="B16" s="5">
        <v>90073.9</v>
      </c>
      <c r="C16" s="5">
        <v>89975.4</v>
      </c>
      <c r="D16" s="8">
        <v>1.1000000000000001E-3</v>
      </c>
      <c r="E16" s="5">
        <v>36.14</v>
      </c>
    </row>
    <row r="17" spans="1:5" x14ac:dyDescent="0.35">
      <c r="A17" s="5" t="s">
        <v>8</v>
      </c>
      <c r="B17" s="5">
        <f>AVERAGE(B12:B16)</f>
        <v>90073.9</v>
      </c>
      <c r="C17" s="5">
        <f t="shared" ref="C17" si="1">AVERAGE(C12:C16)</f>
        <v>90250.8</v>
      </c>
      <c r="D17" s="8">
        <f>AVERAGE(D12:D16)</f>
        <v>-1.9599999999999999E-3</v>
      </c>
      <c r="E17" s="5">
        <f t="shared" ref="E17" si="2">AVERAGE(E12:E16)</f>
        <v>31.548000000000002</v>
      </c>
    </row>
    <row r="19" spans="1:5" x14ac:dyDescent="0.35">
      <c r="A19" s="11" t="s">
        <v>9</v>
      </c>
      <c r="B19" s="11"/>
    </row>
    <row r="20" spans="1:5" x14ac:dyDescent="0.35">
      <c r="A20" t="s">
        <v>1</v>
      </c>
      <c r="B20" t="s">
        <v>2</v>
      </c>
      <c r="C20" t="s">
        <v>3</v>
      </c>
      <c r="D20" t="s">
        <v>4</v>
      </c>
      <c r="E20" t="s">
        <v>5</v>
      </c>
    </row>
    <row r="21" spans="1:5" x14ac:dyDescent="0.35">
      <c r="A21">
        <v>1</v>
      </c>
      <c r="B21" s="1">
        <v>90073.9</v>
      </c>
      <c r="C21" s="1">
        <v>89961.4</v>
      </c>
      <c r="D21" s="3">
        <v>1.1999999999999999E-3</v>
      </c>
      <c r="E21" s="1">
        <v>95.92</v>
      </c>
    </row>
    <row r="22" spans="1:5" x14ac:dyDescent="0.35">
      <c r="A22">
        <v>2</v>
      </c>
      <c r="B22">
        <v>90073.9</v>
      </c>
      <c r="C22">
        <v>89851.9</v>
      </c>
      <c r="D22" s="2">
        <v>2.5000000000000001E-3</v>
      </c>
      <c r="E22">
        <v>56.28</v>
      </c>
    </row>
    <row r="23" spans="1:5" x14ac:dyDescent="0.35">
      <c r="A23">
        <v>3</v>
      </c>
      <c r="B23">
        <v>90073.9</v>
      </c>
      <c r="C23">
        <v>91943.4</v>
      </c>
      <c r="D23" s="2">
        <v>-2.0799999999999999E-2</v>
      </c>
      <c r="E23">
        <v>120.73</v>
      </c>
    </row>
    <row r="24" spans="1:5" x14ac:dyDescent="0.35">
      <c r="A24">
        <v>4</v>
      </c>
      <c r="B24">
        <v>90073.9</v>
      </c>
      <c r="C24">
        <v>89900.4</v>
      </c>
      <c r="D24" s="2">
        <v>1.9E-3</v>
      </c>
      <c r="E24">
        <v>54.06</v>
      </c>
    </row>
    <row r="25" spans="1:5" x14ac:dyDescent="0.35">
      <c r="A25">
        <v>5</v>
      </c>
      <c r="B25">
        <v>90073.9</v>
      </c>
      <c r="C25">
        <v>90596.9</v>
      </c>
      <c r="D25" s="2">
        <v>-5.7999999999999996E-3</v>
      </c>
      <c r="E25">
        <v>94</v>
      </c>
    </row>
    <row r="26" spans="1:5" x14ac:dyDescent="0.35">
      <c r="A26" t="s">
        <v>8</v>
      </c>
      <c r="B26">
        <f>AVERAGE(B21:B25)</f>
        <v>90073.9</v>
      </c>
      <c r="C26">
        <f t="shared" ref="C26" si="3">AVERAGE(C21:C25)</f>
        <v>90450.8</v>
      </c>
      <c r="D26" s="2">
        <f>AVERAGE(D21:D25)</f>
        <v>-4.1999999999999997E-3</v>
      </c>
      <c r="E26">
        <f t="shared" ref="E26" si="4">AVERAGE(E21:E25)</f>
        <v>84.198000000000008</v>
      </c>
    </row>
    <row r="28" spans="1:5" x14ac:dyDescent="0.35">
      <c r="A28" s="4" t="s">
        <v>10</v>
      </c>
    </row>
    <row r="29" spans="1:5" x14ac:dyDescent="0.35">
      <c r="A29" t="s">
        <v>1</v>
      </c>
      <c r="B29" t="s">
        <v>2</v>
      </c>
      <c r="C29" t="s">
        <v>3</v>
      </c>
      <c r="D29" t="s">
        <v>4</v>
      </c>
      <c r="E29" t="s">
        <v>5</v>
      </c>
    </row>
    <row r="30" spans="1:5" x14ac:dyDescent="0.35">
      <c r="A30">
        <v>1</v>
      </c>
      <c r="B30" s="1">
        <v>90073.9</v>
      </c>
      <c r="C30" s="1">
        <v>90539.9</v>
      </c>
      <c r="D30" s="3">
        <v>-5.1999999999999998E-3</v>
      </c>
      <c r="E30" s="1">
        <v>96.23</v>
      </c>
    </row>
    <row r="31" spans="1:5" x14ac:dyDescent="0.35">
      <c r="A31">
        <v>2</v>
      </c>
      <c r="B31">
        <v>90073.9</v>
      </c>
      <c r="C31">
        <v>91898.4</v>
      </c>
      <c r="D31" s="2">
        <v>-2.0299999999999999E-2</v>
      </c>
      <c r="E31">
        <v>72.77</v>
      </c>
    </row>
    <row r="32" spans="1:5" x14ac:dyDescent="0.35">
      <c r="A32">
        <v>3</v>
      </c>
      <c r="B32">
        <v>90073.9</v>
      </c>
      <c r="C32">
        <v>91691.4</v>
      </c>
      <c r="D32" s="2">
        <v>-1.7999999999999999E-2</v>
      </c>
      <c r="E32">
        <v>272.83</v>
      </c>
    </row>
    <row r="33" spans="1:5" x14ac:dyDescent="0.35">
      <c r="A33">
        <v>4</v>
      </c>
      <c r="B33">
        <v>90073.9</v>
      </c>
      <c r="C33">
        <v>89995.9</v>
      </c>
      <c r="D33" s="2">
        <v>8.9999999999999998E-4</v>
      </c>
      <c r="E33">
        <v>29.1</v>
      </c>
    </row>
    <row r="34" spans="1:5" x14ac:dyDescent="0.35">
      <c r="A34">
        <v>5</v>
      </c>
      <c r="B34">
        <v>90073.9</v>
      </c>
      <c r="C34">
        <v>92463.9</v>
      </c>
      <c r="D34" s="2">
        <v>-2.6499999999999999E-2</v>
      </c>
      <c r="E34">
        <v>98.6</v>
      </c>
    </row>
    <row r="35" spans="1:5" x14ac:dyDescent="0.35">
      <c r="A35" t="s">
        <v>8</v>
      </c>
      <c r="B35">
        <f>AVERAGE(B30:B34)</f>
        <v>90073.9</v>
      </c>
      <c r="C35">
        <f t="shared" ref="C35" si="5">AVERAGE(C30:C34)</f>
        <v>91317.9</v>
      </c>
      <c r="D35" s="2">
        <f>AVERAGE(D30:D34)</f>
        <v>-1.3819999999999999E-2</v>
      </c>
      <c r="E35">
        <f t="shared" ref="E35" si="6">AVERAGE(E30:E34)</f>
        <v>113.90599999999999</v>
      </c>
    </row>
  </sheetData>
  <mergeCells count="3">
    <mergeCell ref="A1:B1"/>
    <mergeCell ref="A10:B10"/>
    <mergeCell ref="A19:B19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93F6-9A2E-4D29-9C08-7F20B8694B11}">
  <dimension ref="A1:K30"/>
  <sheetViews>
    <sheetView topLeftCell="A4" workbookViewId="0">
      <selection activeCell="I6" sqref="I6:K10"/>
    </sheetView>
  </sheetViews>
  <sheetFormatPr defaultRowHeight="14.5" x14ac:dyDescent="0.35"/>
  <cols>
    <col min="2" max="2" width="9.6328125" bestFit="1" customWidth="1"/>
    <col min="9" max="9" width="9.90625" bestFit="1" customWidth="1"/>
    <col min="10" max="10" width="14.08984375" bestFit="1" customWidth="1"/>
    <col min="11" max="11" width="7.81640625" bestFit="1" customWidth="1"/>
  </cols>
  <sheetData>
    <row r="1" spans="1:11" x14ac:dyDescent="0.35">
      <c r="A1" s="9" t="s">
        <v>0</v>
      </c>
      <c r="B1" s="9"/>
    </row>
    <row r="2" spans="1:1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11" x14ac:dyDescent="0.35">
      <c r="A3" s="5">
        <v>1</v>
      </c>
      <c r="B3" s="6">
        <v>278468.3</v>
      </c>
      <c r="C3" s="6">
        <v>272073.8</v>
      </c>
      <c r="D3" s="7">
        <v>2.3E-2</v>
      </c>
      <c r="E3" s="6">
        <v>19.46</v>
      </c>
    </row>
    <row r="4" spans="1:11" x14ac:dyDescent="0.35">
      <c r="A4" s="5">
        <v>2</v>
      </c>
      <c r="B4" s="5">
        <v>290408.09999999998</v>
      </c>
      <c r="C4" s="5">
        <v>271998.3</v>
      </c>
      <c r="D4" s="8">
        <v>6.3399999999999998E-2</v>
      </c>
      <c r="E4" s="5">
        <v>21.9</v>
      </c>
    </row>
    <row r="5" spans="1:11" x14ac:dyDescent="0.35">
      <c r="A5" s="5">
        <v>3</v>
      </c>
      <c r="B5" s="5">
        <v>307818.3</v>
      </c>
      <c r="C5" s="5">
        <v>262646.8</v>
      </c>
      <c r="D5" s="8">
        <v>0.1467</v>
      </c>
      <c r="E5" s="5">
        <v>34.94</v>
      </c>
    </row>
    <row r="6" spans="1:11" x14ac:dyDescent="0.35">
      <c r="A6" s="5">
        <v>4</v>
      </c>
      <c r="B6" s="5">
        <v>288468.3</v>
      </c>
      <c r="C6" s="5">
        <v>271973.3</v>
      </c>
      <c r="D6" s="8">
        <v>5.7200000000000001E-2</v>
      </c>
      <c r="E6" s="5">
        <v>29.87</v>
      </c>
      <c r="I6" t="s">
        <v>11</v>
      </c>
      <c r="J6" t="s">
        <v>12</v>
      </c>
      <c r="K6" t="s">
        <v>13</v>
      </c>
    </row>
    <row r="7" spans="1:11" x14ac:dyDescent="0.35">
      <c r="A7" s="5">
        <v>5</v>
      </c>
      <c r="B7" s="5">
        <v>307818.3</v>
      </c>
      <c r="C7" s="5">
        <v>262754.59999999998</v>
      </c>
      <c r="D7" s="8">
        <v>0.1464</v>
      </c>
      <c r="E7" s="5">
        <v>35.46</v>
      </c>
      <c r="I7">
        <v>30</v>
      </c>
      <c r="J7" s="2">
        <v>8.7340000000000001E-2</v>
      </c>
      <c r="K7">
        <v>28.326000000000001</v>
      </c>
    </row>
    <row r="8" spans="1:11" x14ac:dyDescent="0.35">
      <c r="A8" s="5" t="s">
        <v>8</v>
      </c>
      <c r="B8" s="5">
        <f>AVERAGE(B3:B7)</f>
        <v>294596.26</v>
      </c>
      <c r="C8" s="5">
        <f t="shared" ref="C8:E8" si="0">AVERAGE(C3:C7)</f>
        <v>268289.36</v>
      </c>
      <c r="D8" s="8">
        <f>AVERAGE(D3:D7)</f>
        <v>8.7340000000000001E-2</v>
      </c>
      <c r="E8" s="5">
        <f t="shared" si="0"/>
        <v>28.326000000000001</v>
      </c>
      <c r="I8">
        <v>50</v>
      </c>
      <c r="J8" s="2">
        <v>6.9019999999999998E-2</v>
      </c>
      <c r="K8">
        <v>84.231999999999999</v>
      </c>
    </row>
    <row r="9" spans="1:11" x14ac:dyDescent="0.35">
      <c r="I9">
        <v>80</v>
      </c>
      <c r="J9" s="2">
        <v>0.12476666666666665</v>
      </c>
      <c r="K9">
        <v>142.66999999999999</v>
      </c>
    </row>
    <row r="10" spans="1:11" x14ac:dyDescent="0.35">
      <c r="A10" s="10" t="s">
        <v>7</v>
      </c>
      <c r="B10" s="10"/>
      <c r="I10">
        <v>100</v>
      </c>
      <c r="J10" s="2">
        <v>6.8400000000000002E-2</v>
      </c>
      <c r="K10">
        <v>130.24</v>
      </c>
    </row>
    <row r="11" spans="1:11" x14ac:dyDescent="0.35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</row>
    <row r="12" spans="1:11" x14ac:dyDescent="0.35">
      <c r="A12" s="5">
        <v>1</v>
      </c>
      <c r="B12" s="6">
        <v>307823.3</v>
      </c>
      <c r="C12" s="6">
        <v>281714.59999999998</v>
      </c>
      <c r="D12" s="7">
        <v>8.48E-2</v>
      </c>
      <c r="E12" s="6">
        <v>103.55</v>
      </c>
    </row>
    <row r="13" spans="1:11" x14ac:dyDescent="0.35">
      <c r="A13" s="5">
        <v>2</v>
      </c>
      <c r="B13" s="5">
        <v>278603.3</v>
      </c>
      <c r="C13" s="5">
        <v>261805.1</v>
      </c>
      <c r="D13" s="8">
        <v>6.0299999999999999E-2</v>
      </c>
      <c r="E13" s="5">
        <v>61.83</v>
      </c>
    </row>
    <row r="14" spans="1:11" x14ac:dyDescent="0.35">
      <c r="A14" s="5">
        <v>3</v>
      </c>
      <c r="B14" s="5">
        <v>307821.09999999998</v>
      </c>
      <c r="C14" s="5">
        <v>281717.59999999998</v>
      </c>
      <c r="D14" s="8">
        <v>8.48E-2</v>
      </c>
      <c r="E14" s="5">
        <v>105.02</v>
      </c>
    </row>
    <row r="15" spans="1:11" x14ac:dyDescent="0.35">
      <c r="A15" s="5">
        <v>4</v>
      </c>
      <c r="B15" s="5">
        <v>307821.09999999998</v>
      </c>
      <c r="C15" s="5">
        <v>281718.8</v>
      </c>
      <c r="D15" s="8">
        <v>8.48E-2</v>
      </c>
      <c r="E15" s="5">
        <v>77.44</v>
      </c>
    </row>
    <row r="16" spans="1:11" x14ac:dyDescent="0.35">
      <c r="A16" s="5">
        <v>5</v>
      </c>
      <c r="B16" s="5">
        <v>290581.59999999998</v>
      </c>
      <c r="C16" s="5">
        <v>281754.3</v>
      </c>
      <c r="D16" s="8">
        <v>3.04E-2</v>
      </c>
      <c r="E16" s="5">
        <v>73.319999999999993</v>
      </c>
    </row>
    <row r="17" spans="1:5" x14ac:dyDescent="0.35">
      <c r="A17" s="5" t="s">
        <v>8</v>
      </c>
      <c r="B17" s="5">
        <f>AVERAGE(B12:B16)</f>
        <v>298530.07999999996</v>
      </c>
      <c r="C17" s="5">
        <f t="shared" ref="C17:E17" si="1">AVERAGE(C12:C16)</f>
        <v>277742.07999999996</v>
      </c>
      <c r="D17" s="8">
        <f>AVERAGE(D12:D16)</f>
        <v>6.9019999999999998E-2</v>
      </c>
      <c r="E17" s="5">
        <f t="shared" si="1"/>
        <v>84.231999999999999</v>
      </c>
    </row>
    <row r="19" spans="1:5" x14ac:dyDescent="0.35">
      <c r="A19" s="11" t="s">
        <v>9</v>
      </c>
      <c r="B19" s="11"/>
    </row>
    <row r="20" spans="1:5" x14ac:dyDescent="0.35">
      <c r="A20" s="5" t="s">
        <v>1</v>
      </c>
      <c r="B20" s="5" t="s">
        <v>2</v>
      </c>
      <c r="C20" s="5" t="s">
        <v>3</v>
      </c>
      <c r="D20" s="5" t="s">
        <v>4</v>
      </c>
      <c r="E20" s="5" t="s">
        <v>5</v>
      </c>
    </row>
    <row r="21" spans="1:5" x14ac:dyDescent="0.35">
      <c r="A21" s="5">
        <v>1</v>
      </c>
      <c r="B21" s="6">
        <v>290409.09999999998</v>
      </c>
      <c r="C21" s="6">
        <v>253211.4</v>
      </c>
      <c r="D21" s="7">
        <v>0.12809999999999999</v>
      </c>
      <c r="E21" s="6">
        <v>157.33000000000001</v>
      </c>
    </row>
    <row r="22" spans="1:5" x14ac:dyDescent="0.35">
      <c r="A22" s="5">
        <v>2</v>
      </c>
      <c r="B22" s="5">
        <v>299654.09999999998</v>
      </c>
      <c r="C22" s="5">
        <v>262968.40000000002</v>
      </c>
      <c r="D22" s="8">
        <v>0.12239999999999999</v>
      </c>
      <c r="E22" s="5">
        <v>116.86</v>
      </c>
    </row>
    <row r="23" spans="1:5" x14ac:dyDescent="0.35">
      <c r="A23" s="5">
        <v>3</v>
      </c>
      <c r="B23" s="5">
        <v>299648.09999999998</v>
      </c>
      <c r="C23" s="5">
        <v>262560.7</v>
      </c>
      <c r="D23" s="8">
        <v>0.12379999999999999</v>
      </c>
      <c r="E23" s="5">
        <v>153.82</v>
      </c>
    </row>
    <row r="24" spans="1:5" x14ac:dyDescent="0.35">
      <c r="A24" s="5" t="s">
        <v>8</v>
      </c>
      <c r="B24" s="5">
        <f>AVERAGE(B21:B23)</f>
        <v>296570.43333333329</v>
      </c>
      <c r="C24" s="5">
        <f>AVERAGE(C21:C23)</f>
        <v>259580.16666666666</v>
      </c>
      <c r="D24" s="8">
        <f>AVERAGE(D21:D23)</f>
        <v>0.12476666666666665</v>
      </c>
      <c r="E24" s="5">
        <f>AVERAGE(E21:E23)</f>
        <v>142.66999999999999</v>
      </c>
    </row>
    <row r="26" spans="1:5" x14ac:dyDescent="0.35">
      <c r="A26" s="4" t="s">
        <v>10</v>
      </c>
    </row>
    <row r="27" spans="1:5" x14ac:dyDescent="0.35">
      <c r="A27" t="s">
        <v>1</v>
      </c>
      <c r="B27" t="s">
        <v>2</v>
      </c>
      <c r="C27" t="s">
        <v>3</v>
      </c>
      <c r="D27" t="s">
        <v>4</v>
      </c>
      <c r="E27" t="s">
        <v>5</v>
      </c>
    </row>
    <row r="28" spans="1:5" x14ac:dyDescent="0.35">
      <c r="A28">
        <v>1</v>
      </c>
      <c r="B28" s="1">
        <v>288332.3</v>
      </c>
      <c r="C28" s="1">
        <v>273661.09999999998</v>
      </c>
      <c r="D28" s="3">
        <v>5.0900000000000001E-2</v>
      </c>
      <c r="E28" s="1">
        <v>136.44999999999999</v>
      </c>
    </row>
    <row r="29" spans="1:5" x14ac:dyDescent="0.35">
      <c r="A29">
        <v>2</v>
      </c>
      <c r="B29">
        <v>288480.8</v>
      </c>
      <c r="C29">
        <v>263695.59999999998</v>
      </c>
      <c r="D29" s="2">
        <v>8.5900000000000004E-2</v>
      </c>
      <c r="E29">
        <v>124.03</v>
      </c>
    </row>
    <row r="30" spans="1:5" x14ac:dyDescent="0.35">
      <c r="A30" t="s">
        <v>8</v>
      </c>
      <c r="B30">
        <f>AVERAGE(B28:B29)</f>
        <v>288406.55</v>
      </c>
      <c r="C30">
        <f>AVERAGE(C28:C29)</f>
        <v>268678.34999999998</v>
      </c>
      <c r="D30" s="2">
        <f>AVERAGE(D28:D29)</f>
        <v>6.8400000000000002E-2</v>
      </c>
      <c r="E30">
        <f>AVERAGE(E28:E29)</f>
        <v>130.24</v>
      </c>
    </row>
  </sheetData>
  <mergeCells count="3">
    <mergeCell ref="A1:B1"/>
    <mergeCell ref="A10:B10"/>
    <mergeCell ref="A19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D6D5-0A76-4929-B517-F388BE1CC35A}">
  <dimension ref="A1:J23"/>
  <sheetViews>
    <sheetView tabSelected="1" workbookViewId="0">
      <selection activeCell="I15" sqref="I15"/>
    </sheetView>
  </sheetViews>
  <sheetFormatPr defaultRowHeight="14.5" x14ac:dyDescent="0.35"/>
  <sheetData>
    <row r="1" spans="1:10" x14ac:dyDescent="0.35">
      <c r="A1" s="9" t="s">
        <v>0</v>
      </c>
      <c r="B1" s="9"/>
    </row>
    <row r="2" spans="1:10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10" x14ac:dyDescent="0.35">
      <c r="A3" s="5">
        <v>1</v>
      </c>
      <c r="B3" s="6">
        <v>449460.7</v>
      </c>
      <c r="C3" s="6">
        <v>294437.5</v>
      </c>
      <c r="D3" s="7">
        <v>0.34489999999999998</v>
      </c>
      <c r="E3" s="6">
        <v>96.57</v>
      </c>
      <c r="H3" t="s">
        <v>11</v>
      </c>
      <c r="I3" t="s">
        <v>12</v>
      </c>
      <c r="J3" t="s">
        <v>13</v>
      </c>
    </row>
    <row r="4" spans="1:10" x14ac:dyDescent="0.35">
      <c r="A4" s="5">
        <v>2</v>
      </c>
      <c r="B4" s="5">
        <v>445525.2</v>
      </c>
      <c r="C4" s="5">
        <v>284512.2</v>
      </c>
      <c r="D4" s="8">
        <v>0.3614</v>
      </c>
      <c r="E4" s="5">
        <v>70.739999999999995</v>
      </c>
      <c r="H4">
        <v>30</v>
      </c>
      <c r="I4" s="2">
        <v>0.35314999999999996</v>
      </c>
      <c r="J4">
        <v>83.655000000000001</v>
      </c>
    </row>
    <row r="5" spans="1:10" x14ac:dyDescent="0.35">
      <c r="A5" s="5" t="s">
        <v>8</v>
      </c>
      <c r="B5" s="5">
        <f>AVERAGE(B3:B4)</f>
        <v>447492.95</v>
      </c>
      <c r="C5" s="5">
        <f>AVERAGE(C3:C4)</f>
        <v>289474.84999999998</v>
      </c>
      <c r="D5" s="8">
        <f>AVERAGE(D3:D4)</f>
        <v>0.35314999999999996</v>
      </c>
      <c r="E5" s="5">
        <f>AVERAGE(E3:E4)</f>
        <v>83.655000000000001</v>
      </c>
      <c r="H5">
        <v>50</v>
      </c>
      <c r="I5" s="2">
        <v>0.3594</v>
      </c>
      <c r="J5">
        <v>106.685</v>
      </c>
    </row>
    <row r="6" spans="1:10" x14ac:dyDescent="0.35">
      <c r="H6">
        <v>80</v>
      </c>
      <c r="I6" s="2">
        <v>0.35644999999999999</v>
      </c>
      <c r="J6">
        <v>201.655</v>
      </c>
    </row>
    <row r="7" spans="1:10" x14ac:dyDescent="0.35">
      <c r="A7" s="10" t="s">
        <v>7</v>
      </c>
      <c r="B7" s="10"/>
      <c r="H7">
        <v>100</v>
      </c>
      <c r="I7" s="2">
        <v>0.29359999999999997</v>
      </c>
      <c r="J7">
        <v>346.745</v>
      </c>
    </row>
    <row r="8" spans="1:10" x14ac:dyDescent="0.35">
      <c r="A8" s="5" t="s">
        <v>1</v>
      </c>
      <c r="B8" s="5" t="s">
        <v>2</v>
      </c>
      <c r="C8" s="5" t="s">
        <v>3</v>
      </c>
      <c r="D8" s="5" t="s">
        <v>4</v>
      </c>
      <c r="E8" s="5" t="s">
        <v>5</v>
      </c>
    </row>
    <row r="9" spans="1:10" x14ac:dyDescent="0.35">
      <c r="A9" s="5">
        <v>1</v>
      </c>
      <c r="B9" s="6">
        <v>445523.20000000001</v>
      </c>
      <c r="C9" s="6">
        <v>281763.7</v>
      </c>
      <c r="D9" s="7">
        <v>0.36759999999999998</v>
      </c>
      <c r="E9" s="6">
        <v>91.61</v>
      </c>
    </row>
    <row r="10" spans="1:10" x14ac:dyDescent="0.35">
      <c r="A10" s="5">
        <v>2</v>
      </c>
      <c r="B10" s="5">
        <v>449503.2</v>
      </c>
      <c r="C10" s="5">
        <v>291652.2</v>
      </c>
      <c r="D10" s="8">
        <v>0.35120000000000001</v>
      </c>
      <c r="E10" s="5">
        <v>121.76</v>
      </c>
    </row>
    <row r="11" spans="1:10" x14ac:dyDescent="0.35">
      <c r="A11" s="5" t="s">
        <v>8</v>
      </c>
      <c r="B11" s="5">
        <f>AVERAGE(B9:B10)</f>
        <v>447513.2</v>
      </c>
      <c r="C11" s="5">
        <f>AVERAGE(C9:C10)</f>
        <v>286707.95</v>
      </c>
      <c r="D11" s="8">
        <f>AVERAGE(D9:D10)</f>
        <v>0.3594</v>
      </c>
      <c r="E11" s="5">
        <f>AVERAGE(E9:E10)</f>
        <v>106.685</v>
      </c>
    </row>
    <row r="13" spans="1:10" x14ac:dyDescent="0.35">
      <c r="A13" s="11" t="s">
        <v>9</v>
      </c>
      <c r="B13" s="11"/>
    </row>
    <row r="14" spans="1:10" x14ac:dyDescent="0.3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10" x14ac:dyDescent="0.35">
      <c r="A15">
        <v>1</v>
      </c>
      <c r="B15" s="1">
        <v>449460.7</v>
      </c>
      <c r="C15" s="1">
        <v>293930.5</v>
      </c>
      <c r="D15" s="3">
        <v>0.34599999999999997</v>
      </c>
      <c r="E15" s="1">
        <v>163.44</v>
      </c>
    </row>
    <row r="16" spans="1:10" x14ac:dyDescent="0.35">
      <c r="A16">
        <v>2</v>
      </c>
      <c r="B16">
        <v>449503.2</v>
      </c>
      <c r="C16">
        <v>284580</v>
      </c>
      <c r="D16" s="2">
        <v>0.3669</v>
      </c>
      <c r="E16">
        <v>239.87</v>
      </c>
    </row>
    <row r="17" spans="1:5" x14ac:dyDescent="0.35">
      <c r="A17" t="s">
        <v>8</v>
      </c>
      <c r="B17">
        <f>AVERAGE(B15:B16)</f>
        <v>449481.95</v>
      </c>
      <c r="C17">
        <f>AVERAGE(C15:C16)</f>
        <v>289255.25</v>
      </c>
      <c r="D17" s="2">
        <f>AVERAGE(D15:D16)</f>
        <v>0.35644999999999999</v>
      </c>
      <c r="E17">
        <f>AVERAGE(E15:E16)</f>
        <v>201.655</v>
      </c>
    </row>
    <row r="19" spans="1:5" x14ac:dyDescent="0.35">
      <c r="A19" s="4" t="s">
        <v>10</v>
      </c>
    </row>
    <row r="20" spans="1:5" x14ac:dyDescent="0.35">
      <c r="A20" t="s">
        <v>1</v>
      </c>
      <c r="B20" t="s">
        <v>2</v>
      </c>
      <c r="C20" t="s">
        <v>3</v>
      </c>
      <c r="D20" t="s">
        <v>4</v>
      </c>
      <c r="E20" t="s">
        <v>5</v>
      </c>
    </row>
    <row r="21" spans="1:5" x14ac:dyDescent="0.35">
      <c r="A21">
        <v>1</v>
      </c>
      <c r="B21" s="1">
        <v>441641.7</v>
      </c>
      <c r="C21" s="1">
        <v>314727.2</v>
      </c>
      <c r="D21" s="3">
        <v>0.28739999999999999</v>
      </c>
      <c r="E21" s="1">
        <v>409.11</v>
      </c>
    </row>
    <row r="22" spans="1:5" x14ac:dyDescent="0.35">
      <c r="A22">
        <v>2</v>
      </c>
      <c r="B22">
        <v>449472.7</v>
      </c>
      <c r="C22">
        <v>314738.40000000002</v>
      </c>
      <c r="D22" s="2">
        <v>0.29980000000000001</v>
      </c>
      <c r="E22">
        <v>284.38</v>
      </c>
    </row>
    <row r="23" spans="1:5" x14ac:dyDescent="0.35">
      <c r="A23" t="s">
        <v>8</v>
      </c>
      <c r="B23">
        <f>AVERAGE(B21:B22)</f>
        <v>445557.2</v>
      </c>
      <c r="C23">
        <f>AVERAGE(C21:C22)</f>
        <v>314732.80000000005</v>
      </c>
      <c r="D23" s="2">
        <f>AVERAGE(D21:D22)</f>
        <v>0.29359999999999997</v>
      </c>
      <c r="E23">
        <f>AVERAGE(E21:E22)</f>
        <v>346.745</v>
      </c>
    </row>
  </sheetData>
  <mergeCells count="3">
    <mergeCell ref="A1:B1"/>
    <mergeCell ref="A7:B7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 </vt:lpstr>
      <vt:lpstr>medium</vt:lpstr>
      <vt:lpstr>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2026-01-25T17:16:54Z</dcterms:created>
  <dcterms:modified xsi:type="dcterms:W3CDTF">2026-01-26T09:00:59Z</dcterms:modified>
</cp:coreProperties>
</file>